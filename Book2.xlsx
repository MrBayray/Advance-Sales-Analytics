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ocuments\"/>
    </mc:Choice>
  </mc:AlternateContent>
  <xr:revisionPtr revIDLastSave="0" documentId="13_ncr:1_{E68C18D4-3868-4277-A0F6-239CCE080B42}" xr6:coauthVersionLast="47" xr6:coauthVersionMax="47" xr10:uidLastSave="{00000000-0000-0000-0000-000000000000}"/>
  <bookViews>
    <workbookView xWindow="-110" yWindow="-110" windowWidth="19420" windowHeight="10300" xr2:uid="{1A37CDD6-52BB-4B57-A927-4064DEF4DC26}"/>
  </bookViews>
  <sheets>
    <sheet name="Sheet2" sheetId="10" r:id="rId1"/>
    <sheet name="Sheet3" sheetId="11" r:id="rId2"/>
    <sheet name="Sheet4" sheetId="12" r:id="rId3"/>
    <sheet name="Sheet1" sheetId="1" r:id="rId4"/>
  </sheet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O3" i="1"/>
  <c r="O4" i="1"/>
  <c r="O5" i="1"/>
  <c r="O6" i="1"/>
  <c r="O7" i="1"/>
  <c r="O8" i="1"/>
  <c r="O9" i="1"/>
  <c r="O10" i="1"/>
  <c r="O11" i="1"/>
  <c r="O2" i="1"/>
  <c r="L2" i="1"/>
  <c r="L3" i="1"/>
  <c r="L4" i="1"/>
  <c r="L5" i="1"/>
  <c r="L6" i="1"/>
  <c r="L7" i="1"/>
  <c r="L8" i="1"/>
  <c r="L9" i="1"/>
  <c r="L10" i="1"/>
  <c r="L11" i="1"/>
  <c r="K3" i="1"/>
  <c r="M3" i="1" s="1"/>
  <c r="N3" i="1" s="1"/>
  <c r="K4" i="1"/>
  <c r="K5" i="1"/>
  <c r="K6" i="1"/>
  <c r="K7" i="1"/>
  <c r="K8" i="1"/>
  <c r="K9" i="1"/>
  <c r="K10" i="1"/>
  <c r="K11" i="1"/>
  <c r="M5" i="1" l="1"/>
  <c r="N5" i="1" s="1"/>
  <c r="M4" i="1"/>
  <c r="N4" i="1" s="1"/>
  <c r="M8" i="1"/>
  <c r="N8" i="1" s="1"/>
  <c r="M10" i="1"/>
  <c r="N10" i="1" s="1"/>
  <c r="M2" i="1"/>
  <c r="N2" i="1" s="1"/>
  <c r="M11" i="1"/>
  <c r="N11" i="1" s="1"/>
  <c r="M7" i="1"/>
  <c r="N7" i="1" s="1"/>
  <c r="M9" i="1"/>
  <c r="N9" i="1" s="1"/>
  <c r="M6" i="1"/>
  <c r="N6" i="1" s="1"/>
</calcChain>
</file>

<file path=xl/sharedStrings.xml><?xml version="1.0" encoding="utf-8"?>
<sst xmlns="http://schemas.openxmlformats.org/spreadsheetml/2006/main" count="80" uniqueCount="42">
  <si>
    <t>Order ID</t>
  </si>
  <si>
    <t>Date</t>
  </si>
  <si>
    <t>Region</t>
  </si>
  <si>
    <t>Segment</t>
  </si>
  <si>
    <t>Category</t>
  </si>
  <si>
    <t>Product</t>
  </si>
  <si>
    <t>Units</t>
  </si>
  <si>
    <t>Price</t>
  </si>
  <si>
    <t>Cost</t>
  </si>
  <si>
    <t>Discount</t>
  </si>
  <si>
    <t>East</t>
  </si>
  <si>
    <t>West</t>
  </si>
  <si>
    <t>South</t>
  </si>
  <si>
    <t>Midwest</t>
  </si>
  <si>
    <t>Customer</t>
  </si>
  <si>
    <t>Corporate</t>
  </si>
  <si>
    <t>Consumer</t>
  </si>
  <si>
    <t>Small Business</t>
  </si>
  <si>
    <t>Electronics</t>
  </si>
  <si>
    <t>Office Supplies</t>
  </si>
  <si>
    <t>Furniture</t>
  </si>
  <si>
    <t>Laptop</t>
  </si>
  <si>
    <t>Printer Paper</t>
  </si>
  <si>
    <t>Desk</t>
  </si>
  <si>
    <t>Tablet</t>
  </si>
  <si>
    <t>Chair</t>
  </si>
  <si>
    <t>Monitor</t>
  </si>
  <si>
    <t>Cabinet</t>
  </si>
  <si>
    <t>Notebook</t>
  </si>
  <si>
    <t>Keyboard</t>
  </si>
  <si>
    <t>Table</t>
  </si>
  <si>
    <t>Revenue</t>
  </si>
  <si>
    <t>Total Cost</t>
  </si>
  <si>
    <t>Profits</t>
  </si>
  <si>
    <t>Profit Margin</t>
  </si>
  <si>
    <t>Month</t>
  </si>
  <si>
    <t>Row Labels</t>
  </si>
  <si>
    <t>Grand Total</t>
  </si>
  <si>
    <t>Sum of Revenue</t>
  </si>
  <si>
    <t>Column Labels</t>
  </si>
  <si>
    <t>Jan</t>
  </si>
  <si>
    <t>Sum of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</si>
</sst>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2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[Book2.xlsx]Sheet2!PivotTable4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_("$"* #,##0.00_);_("$"* \(#,##0.00\);_("$"* "-"??_);_(@_)</c:formatCode>
                <c:ptCount val="4"/>
                <c:pt idx="0">
                  <c:v>3525</c:v>
                </c:pt>
                <c:pt idx="1">
                  <c:v>1395</c:v>
                </c:pt>
                <c:pt idx="2">
                  <c:v>1200</c:v>
                </c:pt>
                <c:pt idx="3">
                  <c:v>3682.5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7-4C2E-A24D-AABF2376BC5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0280032"/>
        <c:axId val="1740272544"/>
      </c:barChart>
      <c:catAx>
        <c:axId val="174028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272544"/>
        <c:crosses val="autoZero"/>
        <c:auto val="1"/>
        <c:lblAlgn val="ctr"/>
        <c:lblOffset val="100"/>
        <c:noMultiLvlLbl val="0"/>
      </c:catAx>
      <c:valAx>
        <c:axId val="17402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28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[Book2.xlsx]Sheet3!PivotTable5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Sheet3!$A$5:$A$6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Sheet3!$B$5:$B$6</c:f>
              <c:numCache>
                <c:formatCode>General</c:formatCode>
                <c:ptCount val="1"/>
                <c:pt idx="0">
                  <c:v>3525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4B-482D-9105-D0F0EB6CD008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Midwest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Sheet3!$A$5:$A$6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Sheet3!$C$5:$C$6</c:f>
              <c:numCache>
                <c:formatCode>General</c:formatCode>
                <c:ptCount val="1"/>
                <c:pt idx="0">
                  <c:v>1395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4B-482D-9105-D0F0EB6CD008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Sheet3!$A$5:$A$6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Sheet3!$D$5:$D$6</c:f>
              <c:numCache>
                <c:formatCode>General</c:formatCode>
                <c:ptCount val="1"/>
                <c:pt idx="0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4B-482D-9105-D0F0EB6CD008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Sheet3!$A$5:$A$6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Sheet3!$E$5:$E$6</c:f>
              <c:numCache>
                <c:formatCode>General</c:formatCode>
                <c:ptCount val="1"/>
                <c:pt idx="0">
                  <c:v>3682.5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4B-482D-9105-D0F0EB6CD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28560"/>
        <c:axId val="1627628976"/>
      </c:lineChart>
      <c:catAx>
        <c:axId val="162762856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28976"/>
        <c:crosses val="autoZero"/>
        <c:auto val="1"/>
        <c:lblAlgn val="ctr"/>
        <c:lblOffset val="100"/>
        <c:noMultiLvlLbl val="0"/>
      </c:catAx>
      <c:valAx>
        <c:axId val="162762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2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[Book2.xlsx]Sheet4!PivotTable6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 by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Chair</c:v>
                </c:pt>
                <c:pt idx="1">
                  <c:v>Desk</c:v>
                </c:pt>
                <c:pt idx="2">
                  <c:v>Monitor</c:v>
                </c:pt>
                <c:pt idx="3">
                  <c:v>Table</c:v>
                </c:pt>
                <c:pt idx="4">
                  <c:v>Tablet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480</c:v>
                </c:pt>
                <c:pt idx="1">
                  <c:v>390</c:v>
                </c:pt>
                <c:pt idx="2">
                  <c:v>460</c:v>
                </c:pt>
                <c:pt idx="3">
                  <c:v>442.5</c:v>
                </c:pt>
                <c:pt idx="4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D-4A85-A9FB-E7B5C1B199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27630640"/>
        <c:axId val="1627631888"/>
      </c:barChart>
      <c:catAx>
        <c:axId val="162763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31888"/>
        <c:crosses val="autoZero"/>
        <c:auto val="1"/>
        <c:lblAlgn val="ctr"/>
        <c:lblOffset val="100"/>
        <c:noMultiLvlLbl val="0"/>
      </c:catAx>
      <c:valAx>
        <c:axId val="162763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3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3</xdr:row>
      <xdr:rowOff>3175</xdr:rowOff>
    </xdr:from>
    <xdr:to>
      <xdr:col>9</xdr:col>
      <xdr:colOff>355600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89500-A00C-47F5-B7BE-B72B2BFDA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3</xdr:row>
      <xdr:rowOff>3175</xdr:rowOff>
    </xdr:from>
    <xdr:to>
      <xdr:col>9</xdr:col>
      <xdr:colOff>400050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4E354-B0E7-456A-92E5-CBB7D4551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3</xdr:row>
      <xdr:rowOff>3175</xdr:rowOff>
    </xdr:from>
    <xdr:to>
      <xdr:col>9</xdr:col>
      <xdr:colOff>476250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B026EE-796B-4E50-B579-A6772D08A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t" refreshedDate="45640.469138773151" createdVersion="7" refreshedVersion="7" minRefreshableVersion="3" recordCount="10" xr:uid="{EA9167D8-8F84-44C8-BF6A-8BBCF10EAAF3}">
  <cacheSource type="worksheet">
    <worksheetSource name="SalesData"/>
  </cacheSource>
  <cacheFields count="15">
    <cacheField name="Order ID" numFmtId="0">
      <sharedItems containsSemiMixedTypes="0" containsString="0" containsNumber="1" containsInteger="1" minValue="1001" maxValue="1010"/>
    </cacheField>
    <cacheField name="Date" numFmtId="14">
      <sharedItems containsSemiMixedTypes="0" containsNonDate="0" containsDate="1" containsString="0" minDate="2026-01-05T00:00:00" maxDate="2026-01-29T00:00:00"/>
    </cacheField>
    <cacheField name="Region" numFmtId="0">
      <sharedItems count="4">
        <s v="East"/>
        <s v="West"/>
        <s v="South"/>
        <s v="Midwest"/>
      </sharedItems>
    </cacheField>
    <cacheField name="Segment" numFmtId="0">
      <sharedItems/>
    </cacheField>
    <cacheField name="Category" numFmtId="0">
      <sharedItems/>
    </cacheField>
    <cacheField name="Product" numFmtId="0">
      <sharedItems count="10">
        <s v="Laptop"/>
        <s v="Desk"/>
        <s v="Printer Paper"/>
        <s v="Tablet"/>
        <s v="Chair"/>
        <s v="Monitor"/>
        <s v="Cabinet"/>
        <s v="Notebook"/>
        <s v="Keyboard"/>
        <s v="Table"/>
      </sharedItems>
    </cacheField>
    <cacheField name="Units" numFmtId="0">
      <sharedItems containsSemiMixedTypes="0" containsString="0" containsNumber="1" containsInteger="1" minValue="2" maxValue="15"/>
    </cacheField>
    <cacheField name="Price" numFmtId="0">
      <sharedItems containsSemiMixedTypes="0" containsString="0" containsNumber="1" containsInteger="1" minValue="8" maxValue="1200"/>
    </cacheField>
    <cacheField name="Cost" numFmtId="0">
      <sharedItems containsSemiMixedTypes="0" containsString="0" containsNumber="1" containsInteger="1" minValue="3" maxValue="900"/>
    </cacheField>
    <cacheField name="Discount" numFmtId="0">
      <sharedItems containsSemiMixedTypes="0" containsString="0" containsNumber="1" minValue="0" maxValue="0.15"/>
    </cacheField>
    <cacheField name="Revenue" numFmtId="0">
      <sharedItems containsSemiMixedTypes="0" containsString="0" containsNumber="1" minValue="120" maxValue="2160"/>
    </cacheField>
    <cacheField name="Total Cost" numFmtId="0">
      <sharedItems containsSemiMixedTypes="0" containsString="0" containsNumber="1" containsInteger="1" minValue="45" maxValue="1800"/>
    </cacheField>
    <cacheField name="Profits" numFmtId="0">
      <sharedItems containsSemiMixedTypes="0" containsString="0" containsNumber="1" minValue="75" maxValue="480"/>
    </cacheField>
    <cacheField name="Profit Margin" numFmtId="0">
      <sharedItems containsSemiMixedTypes="0" containsString="0" containsNumber="1" minValue="0.16666666666666666" maxValue="0.625"/>
    </cacheField>
    <cacheField name="Month" numFmtId="0">
      <sharedItems count="1">
        <s v="J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d v="2026-01-05T00:00:00"/>
    <x v="0"/>
    <s v="Customer"/>
    <s v="Electronics"/>
    <x v="0"/>
    <n v="2"/>
    <n v="1200"/>
    <n v="900"/>
    <n v="0.1"/>
    <n v="2160"/>
    <n v="1800"/>
    <n v="360"/>
    <n v="0.16666666666666666"/>
    <x v="0"/>
  </r>
  <r>
    <n v="1002"/>
    <d v="2026-01-07T00:00:00"/>
    <x v="1"/>
    <s v="Corporate"/>
    <s v="Furniture"/>
    <x v="1"/>
    <n v="3"/>
    <n v="400"/>
    <n v="250"/>
    <n v="0.05"/>
    <n v="1140"/>
    <n v="750"/>
    <n v="390"/>
    <n v="0.34210526315789475"/>
    <x v="0"/>
  </r>
  <r>
    <n v="1003"/>
    <d v="2026-01-10T00:00:00"/>
    <x v="2"/>
    <s v="Consumer"/>
    <s v="Office Supplies"/>
    <x v="2"/>
    <n v="10"/>
    <n v="25"/>
    <n v="10"/>
    <n v="0"/>
    <n v="250"/>
    <n v="100"/>
    <n v="150"/>
    <n v="0.6"/>
    <x v="0"/>
  </r>
  <r>
    <n v="1004"/>
    <d v="2026-01-12T00:00:00"/>
    <x v="3"/>
    <s v="Small Business"/>
    <s v="Electronics"/>
    <x v="3"/>
    <n v="5"/>
    <n v="300"/>
    <n v="180"/>
    <n v="0.15"/>
    <n v="1275"/>
    <n v="900"/>
    <n v="375"/>
    <n v="0.29411764705882354"/>
    <x v="0"/>
  </r>
  <r>
    <n v="1005"/>
    <d v="2026-01-15T00:00:00"/>
    <x v="0"/>
    <s v="Corporate"/>
    <s v="Furniture"/>
    <x v="4"/>
    <n v="8"/>
    <n v="120"/>
    <n v="60"/>
    <n v="0"/>
    <n v="960"/>
    <n v="480"/>
    <n v="480"/>
    <n v="0.5"/>
    <x v="0"/>
  </r>
  <r>
    <n v="1006"/>
    <d v="2026-01-18T00:00:00"/>
    <x v="1"/>
    <s v="Consumer"/>
    <s v="Electronics"/>
    <x v="5"/>
    <n v="4"/>
    <n v="350"/>
    <n v="200"/>
    <n v="0.1"/>
    <n v="1260"/>
    <n v="800"/>
    <n v="460"/>
    <n v="0.36507936507936506"/>
    <x v="0"/>
  </r>
  <r>
    <n v="1007"/>
    <d v="2026-01-20T00:00:00"/>
    <x v="2"/>
    <s v="Small Business"/>
    <s v="Furniture"/>
    <x v="6"/>
    <n v="2"/>
    <n v="500"/>
    <n v="320"/>
    <n v="0.05"/>
    <n v="950"/>
    <n v="640"/>
    <n v="310"/>
    <n v="0.32631578947368423"/>
    <x v="0"/>
  </r>
  <r>
    <n v="1008"/>
    <d v="2026-01-22T00:00:00"/>
    <x v="3"/>
    <s v="Consumer"/>
    <s v="Office Supplies"/>
    <x v="7"/>
    <n v="15"/>
    <n v="8"/>
    <n v="3"/>
    <n v="0"/>
    <n v="120"/>
    <n v="45"/>
    <n v="75"/>
    <n v="0.625"/>
    <x v="0"/>
  </r>
  <r>
    <n v="1009"/>
    <d v="2026-01-25T00:00:00"/>
    <x v="0"/>
    <s v="Corporate"/>
    <s v="Electronics"/>
    <x v="8"/>
    <n v="10"/>
    <n v="45"/>
    <n v="20"/>
    <n v="0.1"/>
    <n v="405"/>
    <n v="200"/>
    <n v="205"/>
    <n v="0.50617283950617287"/>
    <x v="0"/>
  </r>
  <r>
    <n v="1010"/>
    <d v="2026-01-28T00:00:00"/>
    <x v="1"/>
    <s v="Consumer"/>
    <s v="Furniture"/>
    <x v="9"/>
    <n v="3"/>
    <n v="450"/>
    <n v="280"/>
    <n v="0.05"/>
    <n v="1282.5"/>
    <n v="840"/>
    <n v="442.5"/>
    <n v="0.3450292397660818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BA932-5FCB-4280-A4B9-62A428C1AFE7}" name="PivotTable4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3">
  <location ref="A3:B8" firstHeaderRow="1" firstDataRow="1" firstDataCol="1"/>
  <pivotFields count="15">
    <pivotField showAll="0"/>
    <pivotField numFmtId="1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0" baseField="0" baseItem="0"/>
  </dataFields>
  <formats count="5">
    <format dxfId="4">
      <pivotArea collapsedLevelsAreSubtotals="1" fieldPosition="0">
        <references count="1">
          <reference field="2" count="1">
            <x v="0"/>
          </reference>
        </references>
      </pivotArea>
    </format>
    <format dxfId="3">
      <pivotArea collapsedLevelsAreSubtotals="1" fieldPosition="0">
        <references count="1">
          <reference field="2" count="1">
            <x v="1"/>
          </reference>
        </references>
      </pivotArea>
    </format>
    <format dxfId="2">
      <pivotArea collapsedLevelsAreSubtotals="1" fieldPosition="0">
        <references count="1">
          <reference field="2" count="1">
            <x v="2"/>
          </reference>
        </references>
      </pivotArea>
    </format>
    <format dxfId="1">
      <pivotArea collapsedLevelsAreSubtotals="1" fieldPosition="0">
        <references count="1">
          <reference field="2" count="1">
            <x v="3"/>
          </reference>
        </references>
      </pivotArea>
    </format>
    <format dxfId="0">
      <pivotArea grandRow="1" outline="0" collapsedLevelsAreSubtotals="1" fieldPosition="0"/>
    </format>
  </format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63702-9EA1-4BFC-B12E-A8290C1F393E}" name="PivotTable5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F6" firstHeaderRow="1" firstDataRow="2" firstDataCol="1"/>
  <pivotFields count="15">
    <pivotField showAll="0"/>
    <pivotField numFmtId="14"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14"/>
  </rowFields>
  <rowItems count="2">
    <i>
      <x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10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B7177-4151-48C6-A00E-F48AD790D426}" name="PivotTable6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9" firstHeaderRow="1" firstDataRow="1" firstDataCol="1"/>
  <pivotFields count="15">
    <pivotField showAll="0"/>
    <pivotField numFmtId="14" showAll="0"/>
    <pivotField showAll="0"/>
    <pivotField showAll="0"/>
    <pivotField showAll="0"/>
    <pivotField axis="axisRow" showAll="0" measureFilter="1">
      <items count="11">
        <item x="6"/>
        <item x="4"/>
        <item x="1"/>
        <item x="8"/>
        <item x="0"/>
        <item x="5"/>
        <item x="7"/>
        <item x="2"/>
        <item x="9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6">
    <i>
      <x v="1"/>
    </i>
    <i>
      <x v="2"/>
    </i>
    <i>
      <x v="5"/>
    </i>
    <i>
      <x v="8"/>
    </i>
    <i>
      <x v="9"/>
    </i>
    <i t="grand">
      <x/>
    </i>
  </rowItems>
  <colItems count="1">
    <i/>
  </colItems>
  <dataFields count="1">
    <dataField name="Sum of Profits" fld="1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85E813-2E99-41EA-AC78-317696B5A1CA}" name="SalesData" displayName="SalesData" ref="A1:O11" totalsRowShown="0" headerRowDxfId="21" dataDxfId="20">
  <autoFilter ref="A1:O11" xr:uid="{2A85E813-2E99-41EA-AC78-317696B5A1CA}"/>
  <tableColumns count="15">
    <tableColumn id="1" xr3:uid="{241DB016-9334-485A-9FCC-7E2C04368A96}" name="Order ID" dataDxfId="19"/>
    <tableColumn id="2" xr3:uid="{1657C392-D248-4AB9-9EA4-236CDDF314D8}" name="Date" dataDxfId="18"/>
    <tableColumn id="3" xr3:uid="{D086F061-EE45-498F-80B2-62BB51472A3E}" name="Region" dataDxfId="17"/>
    <tableColumn id="4" xr3:uid="{00B942E6-DD8F-4C4B-B2E1-64A0E7B13955}" name="Segment" dataDxfId="16"/>
    <tableColumn id="5" xr3:uid="{602594CB-6D88-4342-8376-0F85BED340DF}" name="Category" dataDxfId="15"/>
    <tableColumn id="6" xr3:uid="{C5B02CF8-FADF-4169-AEBC-D569BB113F6E}" name="Product" dataDxfId="14"/>
    <tableColumn id="7" xr3:uid="{C039D8B4-D839-4B1D-9F83-205F4A0E1CB1}" name="Units" dataDxfId="13"/>
    <tableColumn id="8" xr3:uid="{6F803DE2-5509-4642-A74C-9D5AFC43D5DA}" name="Price" dataDxfId="12"/>
    <tableColumn id="9" xr3:uid="{8C293660-AE4E-41FE-9EE3-19DF60F568C1}" name="Cost" dataDxfId="11"/>
    <tableColumn id="10" xr3:uid="{B3BA79E5-BA63-4DC6-B813-5263DFA3C04E}" name="Discount" dataDxfId="10"/>
    <tableColumn id="11" xr3:uid="{9A68404E-F4BB-4051-9A2D-B1FA2CD738EF}" name="Revenue" dataDxfId="9">
      <calculatedColumnFormula>SalesData[[#This Row],[Units]]*SalesData[[#This Row],[Price]]*(1-SalesData[[#This Row],[Discount]])</calculatedColumnFormula>
    </tableColumn>
    <tableColumn id="12" xr3:uid="{C342BCF1-62BD-4811-A2B2-F35E80A75CF1}" name="Total Cost" dataDxfId="8">
      <calculatedColumnFormula>SalesData[[#This Row],[Units]]*SalesData[[#This Row],[Cost]]</calculatedColumnFormula>
    </tableColumn>
    <tableColumn id="13" xr3:uid="{64AAB864-D0C6-4A41-8CF9-791CF299326F}" name="Profits" dataDxfId="7">
      <calculatedColumnFormula>SalesData[[#This Row],[Revenue]]-SalesData[[#This Row],[Total Cost]]</calculatedColumnFormula>
    </tableColumn>
    <tableColumn id="14" xr3:uid="{7B4137A9-0C37-4326-8269-3AE8E95B0341}" name="Profit Margin" dataDxfId="6">
      <calculatedColumnFormula>M2/K2</calculatedColumnFormula>
    </tableColumn>
    <tableColumn id="15" xr3:uid="{C8CA8AC9-6AF4-4993-B806-8482D3DF1A37}" name="Month" dataDxfId="5">
      <calculatedColumnFormula>TEXT(SalesData[[#This Row],[Date]],"mmm")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3A5E-CA19-4913-A0EC-84ACF3DE0912}">
  <dimension ref="A3:B8"/>
  <sheetViews>
    <sheetView tabSelected="1"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6" t="s">
        <v>36</v>
      </c>
      <c r="B3" t="s">
        <v>38</v>
      </c>
    </row>
    <row r="4" spans="1:2" x14ac:dyDescent="0.35">
      <c r="A4" s="7" t="s">
        <v>10</v>
      </c>
      <c r="B4" s="9">
        <v>3525</v>
      </c>
    </row>
    <row r="5" spans="1:2" x14ac:dyDescent="0.35">
      <c r="A5" s="7" t="s">
        <v>13</v>
      </c>
      <c r="B5" s="9">
        <v>1395</v>
      </c>
    </row>
    <row r="6" spans="1:2" x14ac:dyDescent="0.35">
      <c r="A6" s="7" t="s">
        <v>12</v>
      </c>
      <c r="B6" s="9">
        <v>1200</v>
      </c>
    </row>
    <row r="7" spans="1:2" x14ac:dyDescent="0.35">
      <c r="A7" s="7" t="s">
        <v>11</v>
      </c>
      <c r="B7" s="9">
        <v>3682.5</v>
      </c>
    </row>
    <row r="8" spans="1:2" x14ac:dyDescent="0.35">
      <c r="A8" s="7" t="s">
        <v>37</v>
      </c>
      <c r="B8" s="9">
        <v>9802.5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2EC1-16FE-4202-A80D-FD48719A3AB7}">
  <dimension ref="A3:F6"/>
  <sheetViews>
    <sheetView workbookViewId="0">
      <selection activeCell="F5" sqref="F5"/>
    </sheetView>
  </sheetViews>
  <sheetFormatPr defaultRowHeight="14.5" x14ac:dyDescent="0.35"/>
  <cols>
    <col min="1" max="1" width="14.36328125" bestFit="1" customWidth="1"/>
    <col min="2" max="2" width="15.26953125" bestFit="1" customWidth="1"/>
    <col min="3" max="3" width="8.08984375" bestFit="1" customWidth="1"/>
    <col min="4" max="4" width="5.7265625" bestFit="1" customWidth="1"/>
    <col min="5" max="5" width="6.81640625" bestFit="1" customWidth="1"/>
    <col min="6" max="6" width="10.7265625" bestFit="1" customWidth="1"/>
  </cols>
  <sheetData>
    <row r="3" spans="1:6" x14ac:dyDescent="0.35">
      <c r="A3" s="6" t="s">
        <v>38</v>
      </c>
      <c r="B3" s="6" t="s">
        <v>39</v>
      </c>
    </row>
    <row r="4" spans="1:6" x14ac:dyDescent="0.35">
      <c r="A4" s="6" t="s">
        <v>36</v>
      </c>
      <c r="B4" t="s">
        <v>10</v>
      </c>
      <c r="C4" t="s">
        <v>13</v>
      </c>
      <c r="D4" t="s">
        <v>12</v>
      </c>
      <c r="E4" t="s">
        <v>11</v>
      </c>
      <c r="F4" t="s">
        <v>37</v>
      </c>
    </row>
    <row r="5" spans="1:6" x14ac:dyDescent="0.35">
      <c r="A5" s="7" t="s">
        <v>40</v>
      </c>
      <c r="B5" s="8">
        <v>3525</v>
      </c>
      <c r="C5" s="8">
        <v>1395</v>
      </c>
      <c r="D5" s="8">
        <v>1200</v>
      </c>
      <c r="E5" s="8">
        <v>3682.5</v>
      </c>
      <c r="F5" s="8">
        <v>9802.5</v>
      </c>
    </row>
    <row r="6" spans="1:6" x14ac:dyDescent="0.35">
      <c r="A6" s="7" t="s">
        <v>37</v>
      </c>
      <c r="B6" s="8">
        <v>3525</v>
      </c>
      <c r="C6" s="8">
        <v>1395</v>
      </c>
      <c r="D6" s="8">
        <v>1200</v>
      </c>
      <c r="E6" s="8">
        <v>3682.5</v>
      </c>
      <c r="F6" s="8">
        <v>9802.5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2BD8-B364-4F22-A749-566708587869}">
  <dimension ref="A3:B9"/>
  <sheetViews>
    <sheetView workbookViewId="0">
      <selection activeCell="L7" sqref="L7"/>
    </sheetView>
  </sheetViews>
  <sheetFormatPr defaultRowHeight="14.5" x14ac:dyDescent="0.35"/>
  <cols>
    <col min="1" max="1" width="12.36328125" bestFit="1" customWidth="1"/>
    <col min="2" max="2" width="12.6328125" bestFit="1" customWidth="1"/>
  </cols>
  <sheetData>
    <row r="3" spans="1:2" x14ac:dyDescent="0.35">
      <c r="A3" s="6" t="s">
        <v>36</v>
      </c>
      <c r="B3" t="s">
        <v>41</v>
      </c>
    </row>
    <row r="4" spans="1:2" x14ac:dyDescent="0.35">
      <c r="A4" s="7" t="s">
        <v>25</v>
      </c>
      <c r="B4" s="8">
        <v>480</v>
      </c>
    </row>
    <row r="5" spans="1:2" x14ac:dyDescent="0.35">
      <c r="A5" s="7" t="s">
        <v>23</v>
      </c>
      <c r="B5" s="8">
        <v>390</v>
      </c>
    </row>
    <row r="6" spans="1:2" x14ac:dyDescent="0.35">
      <c r="A6" s="7" t="s">
        <v>26</v>
      </c>
      <c r="B6" s="8">
        <v>460</v>
      </c>
    </row>
    <row r="7" spans="1:2" x14ac:dyDescent="0.35">
      <c r="A7" s="7" t="s">
        <v>30</v>
      </c>
      <c r="B7" s="8">
        <v>442.5</v>
      </c>
    </row>
    <row r="8" spans="1:2" x14ac:dyDescent="0.35">
      <c r="A8" s="7" t="s">
        <v>24</v>
      </c>
      <c r="B8" s="8">
        <v>375</v>
      </c>
    </row>
    <row r="9" spans="1:2" x14ac:dyDescent="0.35">
      <c r="A9" s="7" t="s">
        <v>37</v>
      </c>
      <c r="B9" s="8">
        <v>2147.5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7167-C64F-47D4-BE68-93D872AFF3D1}">
  <dimension ref="A1:O11"/>
  <sheetViews>
    <sheetView workbookViewId="0">
      <selection activeCell="B2" sqref="B2"/>
    </sheetView>
  </sheetViews>
  <sheetFormatPr defaultRowHeight="14.5" x14ac:dyDescent="0.35"/>
  <cols>
    <col min="1" max="1" width="10" customWidth="1"/>
    <col min="2" max="2" width="9.453125" bestFit="1" customWidth="1"/>
    <col min="4" max="4" width="12.81640625" customWidth="1"/>
    <col min="5" max="5" width="13" customWidth="1"/>
    <col min="6" max="6" width="11.7265625" customWidth="1"/>
    <col min="10" max="10" width="10.1796875" customWidth="1"/>
    <col min="11" max="11" width="10" customWidth="1"/>
    <col min="14" max="14" width="8.90625" customWidth="1"/>
  </cols>
  <sheetData>
    <row r="1" spans="1:1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</row>
    <row r="2" spans="1:15" x14ac:dyDescent="0.35">
      <c r="A2" s="1">
        <v>1001</v>
      </c>
      <c r="B2" s="3">
        <v>46027</v>
      </c>
      <c r="C2" s="1" t="s">
        <v>10</v>
      </c>
      <c r="D2" s="1" t="s">
        <v>14</v>
      </c>
      <c r="E2" s="1" t="s">
        <v>18</v>
      </c>
      <c r="F2" s="1" t="s">
        <v>21</v>
      </c>
      <c r="G2" s="1">
        <v>2</v>
      </c>
      <c r="H2" s="1">
        <v>1200</v>
      </c>
      <c r="I2" s="1">
        <v>900</v>
      </c>
      <c r="J2" s="4">
        <v>0.1</v>
      </c>
      <c r="K2">
        <f>SalesData[[#This Row],[Units]]*SalesData[[#This Row],[Price]]*(1-SalesData[[#This Row],[Discount]])</f>
        <v>2160</v>
      </c>
      <c r="L2" s="1">
        <f>SalesData[[#This Row],[Units]]*SalesData[[#This Row],[Cost]]</f>
        <v>1800</v>
      </c>
      <c r="M2" s="1">
        <f>SalesData[[#This Row],[Revenue]]-SalesData[[#This Row],[Total Cost]]</f>
        <v>360</v>
      </c>
      <c r="N2" s="1">
        <f t="shared" ref="N2:N11" si="0">M2/K2</f>
        <v>0.16666666666666666</v>
      </c>
      <c r="O2" s="5" t="str">
        <f>TEXT(SalesData[[#This Row],[Date]],"mmm")</f>
        <v>Jan</v>
      </c>
    </row>
    <row r="3" spans="1:15" x14ac:dyDescent="0.35">
      <c r="A3" s="1">
        <v>1002</v>
      </c>
      <c r="B3" s="3">
        <v>46029</v>
      </c>
      <c r="C3" s="1" t="s">
        <v>11</v>
      </c>
      <c r="D3" s="1" t="s">
        <v>15</v>
      </c>
      <c r="E3" s="1" t="s">
        <v>20</v>
      </c>
      <c r="F3" s="1" t="s">
        <v>23</v>
      </c>
      <c r="G3" s="1">
        <v>3</v>
      </c>
      <c r="H3" s="1">
        <v>400</v>
      </c>
      <c r="I3" s="1">
        <v>250</v>
      </c>
      <c r="J3" s="1">
        <v>0.05</v>
      </c>
      <c r="K3">
        <f>SalesData[[#This Row],[Units]]*SalesData[[#This Row],[Price]]*(1-SalesData[[#This Row],[Discount]])</f>
        <v>1140</v>
      </c>
      <c r="L3" s="1">
        <f>SalesData[[#This Row],[Units]]*SalesData[[#This Row],[Cost]]</f>
        <v>750</v>
      </c>
      <c r="M3" s="1">
        <f>SalesData[[#This Row],[Revenue]]-SalesData[[#This Row],[Total Cost]]</f>
        <v>390</v>
      </c>
      <c r="N3" s="1">
        <f t="shared" si="0"/>
        <v>0.34210526315789475</v>
      </c>
      <c r="O3" s="5" t="str">
        <f>TEXT(SalesData[[#This Row],[Date]],"mmm")</f>
        <v>Jan</v>
      </c>
    </row>
    <row r="4" spans="1:15" x14ac:dyDescent="0.35">
      <c r="A4" s="1">
        <v>1003</v>
      </c>
      <c r="B4" s="3">
        <v>46032</v>
      </c>
      <c r="C4" s="1" t="s">
        <v>12</v>
      </c>
      <c r="D4" s="1" t="s">
        <v>16</v>
      </c>
      <c r="E4" s="1" t="s">
        <v>19</v>
      </c>
      <c r="F4" s="1" t="s">
        <v>22</v>
      </c>
      <c r="G4" s="1">
        <v>10</v>
      </c>
      <c r="H4" s="1">
        <v>25</v>
      </c>
      <c r="I4" s="1">
        <v>10</v>
      </c>
      <c r="J4" s="1">
        <v>0</v>
      </c>
      <c r="K4">
        <f>SalesData[[#This Row],[Units]]*SalesData[[#This Row],[Price]]*(1-SalesData[[#This Row],[Discount]])</f>
        <v>250</v>
      </c>
      <c r="L4" s="1">
        <f>SalesData[[#This Row],[Units]]*SalesData[[#This Row],[Cost]]</f>
        <v>100</v>
      </c>
      <c r="M4" s="1">
        <f>SalesData[[#This Row],[Revenue]]-SalesData[[#This Row],[Total Cost]]</f>
        <v>150</v>
      </c>
      <c r="N4" s="1">
        <f t="shared" si="0"/>
        <v>0.6</v>
      </c>
      <c r="O4" s="5" t="str">
        <f>TEXT(SalesData[[#This Row],[Date]],"mmm")</f>
        <v>Jan</v>
      </c>
    </row>
    <row r="5" spans="1:15" x14ac:dyDescent="0.35">
      <c r="A5" s="1">
        <v>1004</v>
      </c>
      <c r="B5" s="3">
        <v>46034</v>
      </c>
      <c r="C5" s="1" t="s">
        <v>13</v>
      </c>
      <c r="D5" s="1" t="s">
        <v>17</v>
      </c>
      <c r="E5" s="1" t="s">
        <v>18</v>
      </c>
      <c r="F5" s="1" t="s">
        <v>24</v>
      </c>
      <c r="G5" s="1">
        <v>5</v>
      </c>
      <c r="H5" s="1">
        <v>300</v>
      </c>
      <c r="I5" s="1">
        <v>180</v>
      </c>
      <c r="J5" s="1">
        <v>0.15</v>
      </c>
      <c r="K5">
        <f>SalesData[[#This Row],[Units]]*SalesData[[#This Row],[Price]]*(1-SalesData[[#This Row],[Discount]])</f>
        <v>1275</v>
      </c>
      <c r="L5" s="1">
        <f>SalesData[[#This Row],[Units]]*SalesData[[#This Row],[Cost]]</f>
        <v>900</v>
      </c>
      <c r="M5" s="1">
        <f>SalesData[[#This Row],[Revenue]]-SalesData[[#This Row],[Total Cost]]</f>
        <v>375</v>
      </c>
      <c r="N5" s="1">
        <f t="shared" si="0"/>
        <v>0.29411764705882354</v>
      </c>
      <c r="O5" s="5" t="str">
        <f>TEXT(SalesData[[#This Row],[Date]],"mmm")</f>
        <v>Jan</v>
      </c>
    </row>
    <row r="6" spans="1:15" x14ac:dyDescent="0.35">
      <c r="A6" s="1">
        <v>1005</v>
      </c>
      <c r="B6" s="3">
        <v>46037</v>
      </c>
      <c r="C6" s="1" t="s">
        <v>10</v>
      </c>
      <c r="D6" s="1" t="s">
        <v>15</v>
      </c>
      <c r="E6" s="1" t="s">
        <v>20</v>
      </c>
      <c r="F6" s="1" t="s">
        <v>25</v>
      </c>
      <c r="G6" s="1">
        <v>8</v>
      </c>
      <c r="H6" s="1">
        <v>120</v>
      </c>
      <c r="I6" s="1">
        <v>60</v>
      </c>
      <c r="J6" s="1">
        <v>0</v>
      </c>
      <c r="K6">
        <f>SalesData[[#This Row],[Units]]*SalesData[[#This Row],[Price]]*(1-SalesData[[#This Row],[Discount]])</f>
        <v>960</v>
      </c>
      <c r="L6" s="1">
        <f>SalesData[[#This Row],[Units]]*SalesData[[#This Row],[Cost]]</f>
        <v>480</v>
      </c>
      <c r="M6" s="1">
        <f>SalesData[[#This Row],[Revenue]]-SalesData[[#This Row],[Total Cost]]</f>
        <v>480</v>
      </c>
      <c r="N6" s="1">
        <f t="shared" si="0"/>
        <v>0.5</v>
      </c>
      <c r="O6" s="5" t="str">
        <f>TEXT(SalesData[[#This Row],[Date]],"mmm")</f>
        <v>Jan</v>
      </c>
    </row>
    <row r="7" spans="1:15" x14ac:dyDescent="0.35">
      <c r="A7" s="1">
        <v>1006</v>
      </c>
      <c r="B7" s="3">
        <v>46040</v>
      </c>
      <c r="C7" s="1" t="s">
        <v>11</v>
      </c>
      <c r="D7" s="1" t="s">
        <v>16</v>
      </c>
      <c r="E7" s="1" t="s">
        <v>18</v>
      </c>
      <c r="F7" s="1" t="s">
        <v>26</v>
      </c>
      <c r="G7" s="1">
        <v>4</v>
      </c>
      <c r="H7" s="1">
        <v>350</v>
      </c>
      <c r="I7" s="1">
        <v>200</v>
      </c>
      <c r="J7" s="4">
        <v>0.1</v>
      </c>
      <c r="K7">
        <f>SalesData[[#This Row],[Units]]*SalesData[[#This Row],[Price]]*(1-SalesData[[#This Row],[Discount]])</f>
        <v>1260</v>
      </c>
      <c r="L7" s="1">
        <f>SalesData[[#This Row],[Units]]*SalesData[[#This Row],[Cost]]</f>
        <v>800</v>
      </c>
      <c r="M7" s="1">
        <f>SalesData[[#This Row],[Revenue]]-SalesData[[#This Row],[Total Cost]]</f>
        <v>460</v>
      </c>
      <c r="N7" s="1">
        <f t="shared" si="0"/>
        <v>0.36507936507936506</v>
      </c>
      <c r="O7" s="5" t="str">
        <f>TEXT(SalesData[[#This Row],[Date]],"mmm")</f>
        <v>Jan</v>
      </c>
    </row>
    <row r="8" spans="1:15" x14ac:dyDescent="0.35">
      <c r="A8" s="1">
        <v>1007</v>
      </c>
      <c r="B8" s="3">
        <v>46042</v>
      </c>
      <c r="C8" s="1" t="s">
        <v>12</v>
      </c>
      <c r="D8" s="1" t="s">
        <v>17</v>
      </c>
      <c r="E8" s="1" t="s">
        <v>20</v>
      </c>
      <c r="F8" s="1" t="s">
        <v>27</v>
      </c>
      <c r="G8" s="1">
        <v>2</v>
      </c>
      <c r="H8" s="1">
        <v>500</v>
      </c>
      <c r="I8" s="1">
        <v>320</v>
      </c>
      <c r="J8" s="1">
        <v>0.05</v>
      </c>
      <c r="K8">
        <f>SalesData[[#This Row],[Units]]*SalesData[[#This Row],[Price]]*(1-SalesData[[#This Row],[Discount]])</f>
        <v>950</v>
      </c>
      <c r="L8" s="1">
        <f>SalesData[[#This Row],[Units]]*SalesData[[#This Row],[Cost]]</f>
        <v>640</v>
      </c>
      <c r="M8" s="1">
        <f>SalesData[[#This Row],[Revenue]]-SalesData[[#This Row],[Total Cost]]</f>
        <v>310</v>
      </c>
      <c r="N8" s="1">
        <f t="shared" si="0"/>
        <v>0.32631578947368423</v>
      </c>
      <c r="O8" s="5" t="str">
        <f>TEXT(SalesData[[#This Row],[Date]],"mmm")</f>
        <v>Jan</v>
      </c>
    </row>
    <row r="9" spans="1:15" x14ac:dyDescent="0.35">
      <c r="A9" s="1">
        <v>1008</v>
      </c>
      <c r="B9" s="3">
        <v>46044</v>
      </c>
      <c r="C9" s="1" t="s">
        <v>13</v>
      </c>
      <c r="D9" s="1" t="s">
        <v>16</v>
      </c>
      <c r="E9" s="1" t="s">
        <v>19</v>
      </c>
      <c r="F9" s="1" t="s">
        <v>28</v>
      </c>
      <c r="G9" s="1">
        <v>15</v>
      </c>
      <c r="H9" s="1">
        <v>8</v>
      </c>
      <c r="I9" s="1">
        <v>3</v>
      </c>
      <c r="J9" s="1">
        <v>0</v>
      </c>
      <c r="K9">
        <f>SalesData[[#This Row],[Units]]*SalesData[[#This Row],[Price]]*(1-SalesData[[#This Row],[Discount]])</f>
        <v>120</v>
      </c>
      <c r="L9" s="1">
        <f>SalesData[[#This Row],[Units]]*SalesData[[#This Row],[Cost]]</f>
        <v>45</v>
      </c>
      <c r="M9" s="1">
        <f>SalesData[[#This Row],[Revenue]]-SalesData[[#This Row],[Total Cost]]</f>
        <v>75</v>
      </c>
      <c r="N9" s="1">
        <f t="shared" si="0"/>
        <v>0.625</v>
      </c>
      <c r="O9" s="5" t="str">
        <f>TEXT(SalesData[[#This Row],[Date]],"mmm")</f>
        <v>Jan</v>
      </c>
    </row>
    <row r="10" spans="1:15" x14ac:dyDescent="0.35">
      <c r="A10" s="1">
        <v>1009</v>
      </c>
      <c r="B10" s="3">
        <v>46047</v>
      </c>
      <c r="C10" s="1" t="s">
        <v>10</v>
      </c>
      <c r="D10" s="1" t="s">
        <v>15</v>
      </c>
      <c r="E10" s="1" t="s">
        <v>18</v>
      </c>
      <c r="F10" s="1" t="s">
        <v>29</v>
      </c>
      <c r="G10" s="1">
        <v>10</v>
      </c>
      <c r="H10" s="1">
        <v>45</v>
      </c>
      <c r="I10" s="1">
        <v>20</v>
      </c>
      <c r="J10" s="4">
        <v>0.1</v>
      </c>
      <c r="K10">
        <f>SalesData[[#This Row],[Units]]*SalesData[[#This Row],[Price]]*(1-SalesData[[#This Row],[Discount]])</f>
        <v>405</v>
      </c>
      <c r="L10" s="1">
        <f>SalesData[[#This Row],[Units]]*SalesData[[#This Row],[Cost]]</f>
        <v>200</v>
      </c>
      <c r="M10" s="1">
        <f>SalesData[[#This Row],[Revenue]]-SalesData[[#This Row],[Total Cost]]</f>
        <v>205</v>
      </c>
      <c r="N10" s="1">
        <f t="shared" si="0"/>
        <v>0.50617283950617287</v>
      </c>
      <c r="O10" s="5" t="str">
        <f>TEXT(SalesData[[#This Row],[Date]],"mmm")</f>
        <v>Jan</v>
      </c>
    </row>
    <row r="11" spans="1:15" x14ac:dyDescent="0.35">
      <c r="A11" s="1">
        <v>1010</v>
      </c>
      <c r="B11" s="3">
        <v>46050</v>
      </c>
      <c r="C11" s="1" t="s">
        <v>11</v>
      </c>
      <c r="D11" s="1" t="s">
        <v>16</v>
      </c>
      <c r="E11" s="1" t="s">
        <v>20</v>
      </c>
      <c r="F11" s="1" t="s">
        <v>30</v>
      </c>
      <c r="G11" s="1">
        <v>3</v>
      </c>
      <c r="H11" s="1">
        <v>450</v>
      </c>
      <c r="I11" s="1">
        <v>280</v>
      </c>
      <c r="J11" s="1">
        <v>0.05</v>
      </c>
      <c r="K11">
        <f>SalesData[[#This Row],[Units]]*SalesData[[#This Row],[Price]]*(1-SalesData[[#This Row],[Discount]])</f>
        <v>1282.5</v>
      </c>
      <c r="L11" s="1">
        <f>SalesData[[#This Row],[Units]]*SalesData[[#This Row],[Cost]]</f>
        <v>840</v>
      </c>
      <c r="M11" s="1">
        <f>SalesData[[#This Row],[Revenue]]-SalesData[[#This Row],[Total Cost]]</f>
        <v>442.5</v>
      </c>
      <c r="N11" s="1">
        <f t="shared" si="0"/>
        <v>0.34502923976608185</v>
      </c>
      <c r="O11" s="5" t="str">
        <f>TEXT(SalesData[[#This Row],[Date]],"mmm")</f>
        <v>Jan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2024-12-14T12:03:38Z</dcterms:created>
  <dcterms:modified xsi:type="dcterms:W3CDTF">2026-03-08T18:46:25Z</dcterms:modified>
</cp:coreProperties>
</file>